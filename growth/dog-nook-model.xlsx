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1 UNIT ECONOMICS" sheetId="2" state="visible" r:id="rId2"/>
    <sheet name="2 PARCEL TRAP" sheetId="3" state="visible" r:id="rId3"/>
    <sheet name="3 £100k SOLVER" sheetId="4" state="visible" r:id="rId4"/>
    <sheet name="4 12-MONTH PLAN" sheetId="5" state="visible" r:id="rId5"/>
    <sheet name="5 WEEKLY SCOREC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£#,##0.00"/>
    <numFmt numFmtId="165" formatCode="0.0%"/>
    <numFmt numFmtId="166" formatCode="£#,##0"/>
    <numFmt numFmtId="167" formatCode="0.0&quot;x&quot;"/>
    <numFmt numFmtId="168" formatCode="0.0"/>
    <numFmt numFmtId="169" formatCode="0.00&quot;x&quot;"/>
  </numFmts>
  <fonts count="14">
    <font>
      <name val="Calibri"/>
      <family val="2"/>
      <color theme="1"/>
      <sz val="11"/>
      <scheme val="minor"/>
    </font>
    <font>
      <b val="1"/>
      <color rgb="FF2E2A22"/>
      <sz val="16"/>
    </font>
    <font>
      <color rgb="FF2E2A22"/>
      <sz val="10"/>
    </font>
    <font>
      <b val="1"/>
      <color rgb="FF2E2A22"/>
      <sz val="11"/>
    </font>
    <font>
      <b val="1"/>
      <color rgb="FF2E2A22"/>
      <sz val="10"/>
    </font>
    <font>
      <b val="1"/>
      <color rgb="FFFFFFFF"/>
      <sz val="11"/>
    </font>
    <font>
      <b val="1"/>
      <sz val="12"/>
    </font>
    <font>
      <color rgb="FFC17A57"/>
      <sz val="10"/>
    </font>
    <font>
      <b val="1"/>
      <sz val="14"/>
    </font>
    <font>
      <sz val="10"/>
    </font>
    <font>
      <b val="1"/>
      <color rgb="FFC17A57"/>
      <sz val="12"/>
    </font>
    <font>
      <b val="1"/>
    </font>
    <font>
      <b val="1"/>
      <color rgb="FFC17A57"/>
    </font>
    <font>
      <color rgb="FFC17A57"/>
    </font>
  </fonts>
  <fills count="6">
    <fill>
      <patternFill/>
    </fill>
    <fill>
      <patternFill patternType="gray125"/>
    </fill>
    <fill>
      <patternFill patternType="solid">
        <fgColor rgb="FF7C8767"/>
      </patternFill>
    </fill>
    <fill>
      <patternFill patternType="solid">
        <fgColor rgb="FFFFF3CD"/>
      </patternFill>
    </fill>
    <fill>
      <patternFill patternType="solid">
        <fgColor rgb="FFF3EDE4"/>
      </patternFill>
    </fill>
    <fill>
      <patternFill patternType="solid">
        <fgColor rgb="FFFBE9E0"/>
      </patternFill>
    </fill>
  </fills>
  <borders count="2">
    <border>
      <left/>
      <right/>
      <top/>
      <bottom/>
      <diagonal/>
    </border>
    <border>
      <left style="thin">
        <color rgb="FFD8CDB9"/>
      </left>
      <right style="thin">
        <color rgb="FFD8CDB9"/>
      </right>
      <top style="thin">
        <color rgb="FFD8CDB9"/>
      </top>
      <bottom style="thin">
        <color rgb="FFD8CDB9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3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3" borderId="0" pivotButton="0" quotePrefix="0" xfId="0"/>
    <xf numFmtId="165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6" fontId="0" fillId="3" borderId="1" pivotButton="0" quotePrefix="0" xfId="0"/>
    <xf numFmtId="9" fontId="0" fillId="3" borderId="1" pivotButton="0" quotePrefix="0" xfId="0"/>
    <xf numFmtId="167" fontId="0" fillId="3" borderId="1" pivotButton="0" quotePrefix="0" xfId="0"/>
    <xf numFmtId="165" fontId="0" fillId="3" borderId="1" pivotButton="0" quotePrefix="0" xfId="0"/>
    <xf numFmtId="3" fontId="10" fillId="4" borderId="1" pivotButton="0" quotePrefix="0" xfId="0"/>
    <xf numFmtId="168" fontId="10" fillId="4" borderId="1" pivotButton="0" quotePrefix="0" xfId="0"/>
    <xf numFmtId="166" fontId="10" fillId="4" borderId="1" pivotButton="0" quotePrefix="0" xfId="0"/>
    <xf numFmtId="169" fontId="0" fillId="0" borderId="1" pivotButton="0" quotePrefix="0" xfId="0"/>
    <xf numFmtId="3" fontId="0" fillId="0" borderId="1" pivotButton="0" quotePrefix="0" xfId="0"/>
    <xf numFmtId="168" fontId="0" fillId="0" borderId="1" pivotButton="0" quotePrefix="0" xfId="0"/>
    <xf numFmtId="10" fontId="0" fillId="0" borderId="1" pivotButton="0" quotePrefix="0" xfId="0"/>
    <xf numFmtId="166" fontId="0" fillId="0" borderId="1" pivotButton="0" quotePrefix="0" xfId="0"/>
    <xf numFmtId="0" fontId="0" fillId="5" borderId="1" pivotButton="0" quotePrefix="0" xfId="0"/>
    <xf numFmtId="169" fontId="0" fillId="5" borderId="1" pivotButton="0" quotePrefix="0" xfId="0"/>
    <xf numFmtId="3" fontId="0" fillId="5" borderId="1" pivotButton="0" quotePrefix="0" xfId="0"/>
    <xf numFmtId="168" fontId="0" fillId="5" borderId="1" pivotButton="0" quotePrefix="0" xfId="0"/>
    <xf numFmtId="164" fontId="0" fillId="5" borderId="1" pivotButton="0" quotePrefix="0" xfId="0"/>
    <xf numFmtId="10" fontId="0" fillId="5" borderId="1" pivotButton="0" quotePrefix="0" xfId="0"/>
    <xf numFmtId="166" fontId="0" fillId="5" borderId="1" pivotButton="0" quotePrefix="0" xfId="0"/>
    <xf numFmtId="0" fontId="11" fillId="0" borderId="0" pivotButton="0" quotePrefix="0" xfId="0"/>
    <xf numFmtId="3" fontId="11" fillId="0" borderId="0" pivotButton="0" quotePrefix="0" xfId="0"/>
    <xf numFmtId="166" fontId="11" fillId="0" borderId="0" pivotButton="0" quotePrefix="0" xfId="0"/>
    <xf numFmtId="0" fontId="11" fillId="0" borderId="1" pivotButton="0" quotePrefix="0" xfId="0"/>
    <xf numFmtId="0" fontId="0" fillId="3" borderId="1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THE DOG NOOK — £100k MODEL</t>
        </is>
      </c>
    </row>
    <row r="2">
      <c r="A2" s="2" t="inlineStr"/>
    </row>
    <row r="3">
      <c r="A3" s="3" t="inlineStr">
        <is>
          <t>Yellow cells are inputs. Change them and every sheet updates.</t>
        </is>
      </c>
    </row>
    <row r="4">
      <c r="A4" s="2" t="inlineStr"/>
    </row>
    <row r="5">
      <c r="A5" s="3" t="inlineStr">
        <is>
          <t>Sheet guide:</t>
        </is>
      </c>
    </row>
    <row r="6">
      <c r="A6" s="2" t="inlineStr">
        <is>
          <t xml:space="preserve">  1. UNIT ECONOMICS — margin per product. Change 'Landed cost' once you have real CJ prices.</t>
        </is>
      </c>
    </row>
    <row r="7">
      <c r="A7" s="2" t="inlineStr">
        <is>
          <t xml:space="preserve">  2. PARCEL TRAP — what bundles cost if CJ ships components separately. Check this with CJ.</t>
        </is>
      </c>
    </row>
    <row r="8">
      <c r="A8" s="2" t="inlineStr">
        <is>
          <t xml:space="preserve">  3. £100k SOLVER — the orders/day you need at any AOV, owned-traffic share and ROAS.</t>
        </is>
      </c>
    </row>
    <row r="9">
      <c r="A9" s="2" t="inlineStr">
        <is>
          <t xml:space="preserve">  4. 12-MONTH PLAN — month-by-month targets with seasonality.</t>
        </is>
      </c>
    </row>
    <row r="10">
      <c r="A10" s="2" t="inlineStr">
        <is>
          <t xml:space="preserve">  5. WEEKLY SCORECARD — the five numbers to check every Monday.</t>
        </is>
      </c>
    </row>
    <row r="11">
      <c r="A11" s="2" t="inlineStr"/>
    </row>
    <row r="12">
      <c r="A12" s="3" t="inlineStr">
        <is>
          <t>The one conclusion: AOV and owned traffic decide this, not ad budget.</t>
        </is>
      </c>
    </row>
    <row r="13">
      <c r="A13" s="2" t="inlineStr">
        <is>
          <t>Raising AOV £60→£80 removes ~900 orders/yr from the job. Doubling ad spend removes none.</t>
        </is>
      </c>
    </row>
    <row r="14">
      <c r="A14" s="2" t="inlineStr"/>
    </row>
    <row r="15">
      <c r="A15" s="4" t="inlineStr">
        <is>
          <t>Landed costs are ESTIMATES. Confirm with CJ before trusting any profit figure.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4" customWidth="1" min="5" max="5"/>
    <col width="10" customWidth="1" min="6" max="6"/>
    <col width="10" customWidth="1" min="7" max="7"/>
    <col width="10" customWidth="1" min="8" max="8"/>
    <col width="14" customWidth="1" min="9" max="9"/>
    <col width="15" customWidth="1" min="10" max="10"/>
    <col width="15" customWidth="1" min="11" max="11"/>
  </cols>
  <sheetData>
    <row r="1">
      <c r="A1" s="5" t="inlineStr">
        <is>
          <t>Product</t>
        </is>
      </c>
      <c r="B1" s="5" t="inlineStr">
        <is>
          <t>Status</t>
        </is>
      </c>
      <c r="C1" s="5" t="inlineStr">
        <is>
          <t>Type</t>
        </is>
      </c>
      <c r="D1" s="5" t="inlineStr">
        <is>
          <t>Price £</t>
        </is>
      </c>
      <c r="E1" s="5" t="inlineStr">
        <is>
          <t>Landed cost £</t>
        </is>
      </c>
      <c r="F1" s="5" t="inlineStr">
        <is>
          <t>Gross £</t>
        </is>
      </c>
      <c r="G1" s="5" t="inlineStr">
        <is>
          <t>Gross %</t>
        </is>
      </c>
      <c r="H1" s="5" t="inlineStr">
        <is>
          <t>Fees £</t>
        </is>
      </c>
      <c r="I1" s="5" t="inlineStr">
        <is>
          <t>Refund prov £</t>
        </is>
      </c>
      <c r="J1" s="5" t="inlineStr">
        <is>
          <t>Contribution £</t>
        </is>
      </c>
      <c r="K1" s="5" t="inlineStr">
        <is>
          <t>Contribution %</t>
        </is>
      </c>
    </row>
    <row r="2">
      <c r="A2" s="6" t="inlineStr">
        <is>
          <t>The Calming Snood</t>
        </is>
      </c>
      <c r="B2" s="6" t="inlineStr">
        <is>
          <t>draft</t>
        </is>
      </c>
      <c r="C2" s="6" t="inlineStr">
        <is>
          <t>single</t>
        </is>
      </c>
      <c r="D2" s="7" t="n">
        <v>9.99</v>
      </c>
      <c r="E2" s="7" t="n">
        <v>1.5</v>
      </c>
      <c r="F2" s="8">
        <f>D2-E2</f>
        <v/>
      </c>
      <c r="G2" s="9">
        <f>F2/D2</f>
        <v/>
      </c>
      <c r="H2" s="8">
        <f>D2*0.02+0.25/D2</f>
        <v/>
      </c>
      <c r="I2" s="8">
        <f>D2*0.05</f>
        <v/>
      </c>
      <c r="J2" s="8">
        <f>F2-H2-I2</f>
        <v/>
      </c>
      <c r="K2" s="9">
        <f>J2/D2</f>
        <v/>
      </c>
    </row>
    <row r="3">
      <c r="A3" s="6" t="inlineStr">
        <is>
          <t>The Lick Mat</t>
        </is>
      </c>
      <c r="B3" s="6" t="inlineStr">
        <is>
          <t>active</t>
        </is>
      </c>
      <c r="C3" s="6" t="inlineStr">
        <is>
          <t>single</t>
        </is>
      </c>
      <c r="D3" s="7" t="n">
        <v>11.99</v>
      </c>
      <c r="E3" s="7" t="n">
        <v>2.5</v>
      </c>
      <c r="F3" s="8">
        <f>D3-E3</f>
        <v/>
      </c>
      <c r="G3" s="9">
        <f>F3/D3</f>
        <v/>
      </c>
      <c r="H3" s="8">
        <f>D3*0.02+0.25/D3</f>
        <v/>
      </c>
      <c r="I3" s="8">
        <f>D3*0.05</f>
        <v/>
      </c>
      <c r="J3" s="8">
        <f>F3-H3-I3</f>
        <v/>
      </c>
      <c r="K3" s="9">
        <f>J3/D3</f>
        <v/>
      </c>
    </row>
    <row r="4">
      <c r="A4" s="6" t="inlineStr">
        <is>
          <t>The Grooming Glove</t>
        </is>
      </c>
      <c r="B4" s="6" t="inlineStr">
        <is>
          <t>active</t>
        </is>
      </c>
      <c r="C4" s="6" t="inlineStr">
        <is>
          <t>single</t>
        </is>
      </c>
      <c r="D4" s="7" t="n">
        <v>11.99</v>
      </c>
      <c r="E4" s="7" t="n">
        <v>2</v>
      </c>
      <c r="F4" s="8">
        <f>D4-E4</f>
        <v/>
      </c>
      <c r="G4" s="9">
        <f>F4/D4</f>
        <v/>
      </c>
      <c r="H4" s="8">
        <f>D4*0.02+0.25/D4</f>
        <v/>
      </c>
      <c r="I4" s="8">
        <f>D4*0.05</f>
        <v/>
      </c>
      <c r="J4" s="8">
        <f>F4-H4-I4</f>
        <v/>
      </c>
      <c r="K4" s="9">
        <f>J4/D4</f>
        <v/>
      </c>
    </row>
    <row r="5">
      <c r="A5" s="6" t="inlineStr">
        <is>
          <t>The Wobble Feeder</t>
        </is>
      </c>
      <c r="B5" s="6" t="inlineStr">
        <is>
          <t>draft</t>
        </is>
      </c>
      <c r="C5" s="6" t="inlineStr">
        <is>
          <t>single</t>
        </is>
      </c>
      <c r="D5" s="7" t="n">
        <v>13.99</v>
      </c>
      <c r="E5" s="7" t="n">
        <v>3.5</v>
      </c>
      <c r="F5" s="8">
        <f>D5-E5</f>
        <v/>
      </c>
      <c r="G5" s="9">
        <f>F5/D5</f>
        <v/>
      </c>
      <c r="H5" s="8">
        <f>D5*0.02+0.25/D5</f>
        <v/>
      </c>
      <c r="I5" s="8">
        <f>D5*0.05</f>
        <v/>
      </c>
      <c r="J5" s="8">
        <f>F5-H5-I5</f>
        <v/>
      </c>
      <c r="K5" s="9">
        <f>J5/D5</f>
        <v/>
      </c>
    </row>
    <row r="6">
      <c r="A6" s="6" t="inlineStr">
        <is>
          <t>The Slow-Feeder Bowl</t>
        </is>
      </c>
      <c r="B6" s="6" t="inlineStr">
        <is>
          <t>active</t>
        </is>
      </c>
      <c r="C6" s="6" t="inlineStr">
        <is>
          <t>single</t>
        </is>
      </c>
      <c r="D6" s="7" t="n">
        <v>14.99</v>
      </c>
      <c r="E6" s="7" t="n">
        <v>3</v>
      </c>
      <c r="F6" s="8">
        <f>D6-E6</f>
        <v/>
      </c>
      <c r="G6" s="9">
        <f>F6/D6</f>
        <v/>
      </c>
      <c r="H6" s="8">
        <f>D6*0.02+0.25/D6</f>
        <v/>
      </c>
      <c r="I6" s="8">
        <f>D6*0.05</f>
        <v/>
      </c>
      <c r="J6" s="8">
        <f>F6-H6-I6</f>
        <v/>
      </c>
      <c r="K6" s="9">
        <f>J6/D6</f>
        <v/>
      </c>
    </row>
    <row r="7">
      <c r="A7" s="6" t="inlineStr">
        <is>
          <t>The Snuffle Ball</t>
        </is>
      </c>
      <c r="B7" s="6" t="inlineStr">
        <is>
          <t>draft</t>
        </is>
      </c>
      <c r="C7" s="6" t="inlineStr">
        <is>
          <t>single</t>
        </is>
      </c>
      <c r="D7" s="7" t="n">
        <v>14.99</v>
      </c>
      <c r="E7" s="7" t="n">
        <v>3</v>
      </c>
      <c r="F7" s="8">
        <f>D7-E7</f>
        <v/>
      </c>
      <c r="G7" s="9">
        <f>F7/D7</f>
        <v/>
      </c>
      <c r="H7" s="8">
        <f>D7*0.02+0.25/D7</f>
        <v/>
      </c>
      <c r="I7" s="8">
        <f>D7*0.05</f>
        <v/>
      </c>
      <c r="J7" s="8">
        <f>F7-H7-I7</f>
        <v/>
      </c>
      <c r="K7" s="9">
        <f>J7/D7</f>
        <v/>
      </c>
    </row>
    <row r="8">
      <c r="A8" s="6" t="inlineStr">
        <is>
          <t>The Nail Grinder</t>
        </is>
      </c>
      <c r="B8" s="6" t="inlineStr">
        <is>
          <t>active</t>
        </is>
      </c>
      <c r="C8" s="6" t="inlineStr">
        <is>
          <t>single</t>
        </is>
      </c>
      <c r="D8" s="7" t="n">
        <v>19.99</v>
      </c>
      <c r="E8" s="7" t="n">
        <v>5.5</v>
      </c>
      <c r="F8" s="8">
        <f>D8-E8</f>
        <v/>
      </c>
      <c r="G8" s="9">
        <f>F8/D8</f>
        <v/>
      </c>
      <c r="H8" s="8">
        <f>D8*0.02+0.25/D8</f>
        <v/>
      </c>
      <c r="I8" s="8">
        <f>D8*0.05</f>
        <v/>
      </c>
      <c r="J8" s="8">
        <f>F8-H8-I8</f>
        <v/>
      </c>
      <c r="K8" s="9">
        <f>J8/D8</f>
        <v/>
      </c>
    </row>
    <row r="9">
      <c r="A9" s="6" t="inlineStr">
        <is>
          <t>The Snuffle Mat</t>
        </is>
      </c>
      <c r="B9" s="6" t="inlineStr">
        <is>
          <t>active</t>
        </is>
      </c>
      <c r="C9" s="6" t="inlineStr">
        <is>
          <t>single</t>
        </is>
      </c>
      <c r="D9" s="7" t="n">
        <v>22.99</v>
      </c>
      <c r="E9" s="7" t="n">
        <v>5</v>
      </c>
      <c r="F9" s="8">
        <f>D9-E9</f>
        <v/>
      </c>
      <c r="G9" s="9">
        <f>F9/D9</f>
        <v/>
      </c>
      <c r="H9" s="8">
        <f>D9*0.02+0.25/D9</f>
        <v/>
      </c>
      <c r="I9" s="8">
        <f>D9*0.05</f>
        <v/>
      </c>
      <c r="J9" s="8">
        <f>F9-H9-I9</f>
        <v/>
      </c>
      <c r="K9" s="9">
        <f>J9/D9</f>
        <v/>
      </c>
    </row>
    <row r="10">
      <c r="A10" s="6" t="inlineStr">
        <is>
          <t>The Heartbeat Companion</t>
        </is>
      </c>
      <c r="B10" s="6" t="inlineStr">
        <is>
          <t>draft</t>
        </is>
      </c>
      <c r="C10" s="6" t="inlineStr">
        <is>
          <t>single</t>
        </is>
      </c>
      <c r="D10" s="7" t="n">
        <v>24.99</v>
      </c>
      <c r="E10" s="7" t="n">
        <v>5</v>
      </c>
      <c r="F10" s="8">
        <f>D10-E10</f>
        <v/>
      </c>
      <c r="G10" s="9">
        <f>F10/D10</f>
        <v/>
      </c>
      <c r="H10" s="8">
        <f>D10*0.02+0.25/D10</f>
        <v/>
      </c>
      <c r="I10" s="8">
        <f>D10*0.05</f>
        <v/>
      </c>
      <c r="J10" s="8">
        <f>F10-H10-I10</f>
        <v/>
      </c>
      <c r="K10" s="9">
        <f>J10/D10</f>
        <v/>
      </c>
    </row>
    <row r="11">
      <c r="A11" s="6" t="inlineStr">
        <is>
          <t>The Calming Coat</t>
        </is>
      </c>
      <c r="B11" s="6" t="inlineStr">
        <is>
          <t>draft</t>
        </is>
      </c>
      <c r="C11" s="6" t="inlineStr">
        <is>
          <t>single</t>
        </is>
      </c>
      <c r="D11" s="7" t="n">
        <v>24.99</v>
      </c>
      <c r="E11" s="7" t="n">
        <v>5.5</v>
      </c>
      <c r="F11" s="8">
        <f>D11-E11</f>
        <v/>
      </c>
      <c r="G11" s="9">
        <f>F11/D11</f>
        <v/>
      </c>
      <c r="H11" s="8">
        <f>D11*0.02+0.25/D11</f>
        <v/>
      </c>
      <c r="I11" s="8">
        <f>D11*0.05</f>
        <v/>
      </c>
      <c r="J11" s="8">
        <f>F11-H11-I11</f>
        <v/>
      </c>
      <c r="K11" s="9">
        <f>J11/D11</f>
        <v/>
      </c>
    </row>
    <row r="12">
      <c r="A12" s="6" t="inlineStr">
        <is>
          <t>The Auto-Play Ball</t>
        </is>
      </c>
      <c r="B12" s="6" t="inlineStr">
        <is>
          <t>draft</t>
        </is>
      </c>
      <c r="C12" s="6" t="inlineStr">
        <is>
          <t>single</t>
        </is>
      </c>
      <c r="D12" s="7" t="n">
        <v>24.99</v>
      </c>
      <c r="E12" s="7" t="n">
        <v>7</v>
      </c>
      <c r="F12" s="8">
        <f>D12-E12</f>
        <v/>
      </c>
      <c r="G12" s="9">
        <f>F12/D12</f>
        <v/>
      </c>
      <c r="H12" s="8">
        <f>D12*0.02+0.25/D12</f>
        <v/>
      </c>
      <c r="I12" s="8">
        <f>D12*0.05</f>
        <v/>
      </c>
      <c r="J12" s="8">
        <f>F12-H12-I12</f>
        <v/>
      </c>
      <c r="K12" s="9">
        <f>J12/D12</f>
        <v/>
      </c>
    </row>
    <row r="13">
      <c r="A13" s="6" t="inlineStr">
        <is>
          <t>The Car Boot Liner</t>
        </is>
      </c>
      <c r="B13" s="6" t="inlineStr">
        <is>
          <t>active</t>
        </is>
      </c>
      <c r="C13" s="6" t="inlineStr">
        <is>
          <t>single</t>
        </is>
      </c>
      <c r="D13" s="7" t="n">
        <v>29.99</v>
      </c>
      <c r="E13" s="7" t="n">
        <v>9</v>
      </c>
      <c r="F13" s="8">
        <f>D13-E13</f>
        <v/>
      </c>
      <c r="G13" s="9">
        <f>F13/D13</f>
        <v/>
      </c>
      <c r="H13" s="8">
        <f>D13*0.02+0.25/D13</f>
        <v/>
      </c>
      <c r="I13" s="8">
        <f>D13*0.05</f>
        <v/>
      </c>
      <c r="J13" s="8">
        <f>F13-H13-I13</f>
        <v/>
      </c>
      <c r="K13" s="9">
        <f>J13/D13</f>
        <v/>
      </c>
    </row>
    <row r="14">
      <c r="A14" s="6" t="inlineStr">
        <is>
          <t>Calming Donut Bed (S)</t>
        </is>
      </c>
      <c r="B14" s="6" t="inlineStr">
        <is>
          <t>active</t>
        </is>
      </c>
      <c r="C14" s="6" t="inlineStr">
        <is>
          <t>single</t>
        </is>
      </c>
      <c r="D14" s="7" t="n">
        <v>29.99</v>
      </c>
      <c r="E14" s="7" t="n">
        <v>9</v>
      </c>
      <c r="F14" s="8">
        <f>D14-E14</f>
        <v/>
      </c>
      <c r="G14" s="9">
        <f>F14/D14</f>
        <v/>
      </c>
      <c r="H14" s="8">
        <f>D14*0.02+0.25/D14</f>
        <v/>
      </c>
      <c r="I14" s="8">
        <f>D14*0.05</f>
        <v/>
      </c>
      <c r="J14" s="8">
        <f>F14-H14-I14</f>
        <v/>
      </c>
      <c r="K14" s="9">
        <f>J14/D14</f>
        <v/>
      </c>
    </row>
    <row r="15">
      <c r="A15" s="6" t="inlineStr">
        <is>
          <t>Calming Donut Bed (M)</t>
        </is>
      </c>
      <c r="B15" s="6" t="inlineStr">
        <is>
          <t>active</t>
        </is>
      </c>
      <c r="C15" s="6" t="inlineStr">
        <is>
          <t>single</t>
        </is>
      </c>
      <c r="D15" s="7" t="n">
        <v>37.99</v>
      </c>
      <c r="E15" s="7" t="n">
        <v>12</v>
      </c>
      <c r="F15" s="8">
        <f>D15-E15</f>
        <v/>
      </c>
      <c r="G15" s="9">
        <f>F15/D15</f>
        <v/>
      </c>
      <c r="H15" s="8">
        <f>D15*0.02+0.25/D15</f>
        <v/>
      </c>
      <c r="I15" s="8">
        <f>D15*0.05</f>
        <v/>
      </c>
      <c r="J15" s="8">
        <f>F15-H15-I15</f>
        <v/>
      </c>
      <c r="K15" s="9">
        <f>J15/D15</f>
        <v/>
      </c>
    </row>
    <row r="16">
      <c r="A16" s="6" t="inlineStr">
        <is>
          <t>Calming Donut Bed (L)</t>
        </is>
      </c>
      <c r="B16" s="6" t="inlineStr">
        <is>
          <t>active</t>
        </is>
      </c>
      <c r="C16" s="6" t="inlineStr">
        <is>
          <t>single</t>
        </is>
      </c>
      <c r="D16" s="7" t="n">
        <v>44.99</v>
      </c>
      <c r="E16" s="7" t="n">
        <v>15</v>
      </c>
      <c r="F16" s="8">
        <f>D16-E16</f>
        <v/>
      </c>
      <c r="G16" s="9">
        <f>F16/D16</f>
        <v/>
      </c>
      <c r="H16" s="8">
        <f>D16*0.02+0.25/D16</f>
        <v/>
      </c>
      <c r="I16" s="8">
        <f>D16*0.05</f>
        <v/>
      </c>
      <c r="J16" s="8">
        <f>F16-H16-I16</f>
        <v/>
      </c>
      <c r="K16" s="9">
        <f>J16/D16</f>
        <v/>
      </c>
    </row>
    <row r="17">
      <c r="A17" s="6" t="inlineStr">
        <is>
          <t>The Weighted Blanket</t>
        </is>
      </c>
      <c r="B17" s="6" t="inlineStr">
        <is>
          <t>draft</t>
        </is>
      </c>
      <c r="C17" s="6" t="inlineStr">
        <is>
          <t>single</t>
        </is>
      </c>
      <c r="D17" s="7" t="n">
        <v>34.99</v>
      </c>
      <c r="E17" s="7" t="n">
        <v>11</v>
      </c>
      <c r="F17" s="8">
        <f>D17-E17</f>
        <v/>
      </c>
      <c r="G17" s="9">
        <f>F17/D17</f>
        <v/>
      </c>
      <c r="H17" s="8">
        <f>D17*0.02+0.25/D17</f>
        <v/>
      </c>
      <c r="I17" s="8">
        <f>D17*0.05</f>
        <v/>
      </c>
      <c r="J17" s="8">
        <f>F17-H17-I17</f>
        <v/>
      </c>
      <c r="K17" s="9">
        <f>J17/D17</f>
        <v/>
      </c>
    </row>
    <row r="18">
      <c r="A18" s="6" t="inlineStr">
        <is>
          <t>The Deep Nook (L)</t>
        </is>
      </c>
      <c r="B18" s="6" t="inlineStr">
        <is>
          <t>draft</t>
        </is>
      </c>
      <c r="C18" s="6" t="inlineStr">
        <is>
          <t>single</t>
        </is>
      </c>
      <c r="D18" s="7" t="n">
        <v>59.99</v>
      </c>
      <c r="E18" s="7" t="n">
        <v>20</v>
      </c>
      <c r="F18" s="8">
        <f>D18-E18</f>
        <v/>
      </c>
      <c r="G18" s="9">
        <f>F18/D18</f>
        <v/>
      </c>
      <c r="H18" s="8">
        <f>D18*0.02+0.25/D18</f>
        <v/>
      </c>
      <c r="I18" s="8">
        <f>D18*0.05</f>
        <v/>
      </c>
      <c r="J18" s="8">
        <f>F18-H18-I18</f>
        <v/>
      </c>
      <c r="K18" s="9">
        <f>J18/D18</f>
        <v/>
      </c>
    </row>
    <row r="19">
      <c r="A19" s="6" t="inlineStr">
        <is>
          <t>The Deep Nook (XL)</t>
        </is>
      </c>
      <c r="B19" s="6" t="inlineStr">
        <is>
          <t>draft</t>
        </is>
      </c>
      <c r="C19" s="6" t="inlineStr">
        <is>
          <t>single</t>
        </is>
      </c>
      <c r="D19" s="7" t="n">
        <v>79.98999999999999</v>
      </c>
      <c r="E19" s="7" t="n">
        <v>26</v>
      </c>
      <c r="F19" s="8">
        <f>D19-E19</f>
        <v/>
      </c>
      <c r="G19" s="9">
        <f>F19/D19</f>
        <v/>
      </c>
      <c r="H19" s="8">
        <f>D19*0.02+0.25/D19</f>
        <v/>
      </c>
      <c r="I19" s="8">
        <f>D19*0.05</f>
        <v/>
      </c>
      <c r="J19" s="8">
        <f>F19-H19-I19</f>
        <v/>
      </c>
      <c r="K19" s="9">
        <f>J19/D19</f>
        <v/>
      </c>
    </row>
    <row r="20">
      <c r="A20" s="6" t="inlineStr">
        <is>
          <t>The Deep Nook (XXL)</t>
        </is>
      </c>
      <c r="B20" s="6" t="inlineStr">
        <is>
          <t>draft</t>
        </is>
      </c>
      <c r="C20" s="6" t="inlineStr">
        <is>
          <t>single</t>
        </is>
      </c>
      <c r="D20" s="7" t="n">
        <v>89.98999999999999</v>
      </c>
      <c r="E20" s="7" t="n">
        <v>30</v>
      </c>
      <c r="F20" s="8">
        <f>D20-E20</f>
        <v/>
      </c>
      <c r="G20" s="9">
        <f>F20/D20</f>
        <v/>
      </c>
      <c r="H20" s="8">
        <f>D20*0.02+0.25/D20</f>
        <v/>
      </c>
      <c r="I20" s="8">
        <f>D20*0.05</f>
        <v/>
      </c>
      <c r="J20" s="8">
        <f>F20-H20-I20</f>
        <v/>
      </c>
      <c r="K20" s="9">
        <f>J20/D20</f>
        <v/>
      </c>
    </row>
    <row r="21">
      <c r="A21" s="6" t="inlineStr">
        <is>
          <t>First Days Kit</t>
        </is>
      </c>
      <c r="B21" s="6" t="inlineStr">
        <is>
          <t>active</t>
        </is>
      </c>
      <c r="C21" s="6" t="inlineStr">
        <is>
          <t>bundle</t>
        </is>
      </c>
      <c r="D21" s="7" t="n">
        <v>34.99</v>
      </c>
      <c r="E21" s="7" t="n">
        <v>10.5</v>
      </c>
      <c r="F21" s="8">
        <f>D21-E21</f>
        <v/>
      </c>
      <c r="G21" s="9">
        <f>F21/D21</f>
        <v/>
      </c>
      <c r="H21" s="8">
        <f>D21*0.02+0.25/D21</f>
        <v/>
      </c>
      <c r="I21" s="8">
        <f>D21*0.05</f>
        <v/>
      </c>
      <c r="J21" s="8">
        <f>F21-H21-I21</f>
        <v/>
      </c>
      <c r="K21" s="9">
        <f>J21/D21</f>
        <v/>
      </c>
    </row>
    <row r="22">
      <c r="A22" s="6" t="inlineStr">
        <is>
          <t>Settle-In Bundle</t>
        </is>
      </c>
      <c r="B22" s="6" t="inlineStr">
        <is>
          <t>active</t>
        </is>
      </c>
      <c r="C22" s="6" t="inlineStr">
        <is>
          <t>bundle</t>
        </is>
      </c>
      <c r="D22" s="7" t="n">
        <v>64.98999999999999</v>
      </c>
      <c r="E22" s="7" t="n">
        <v>18.2</v>
      </c>
      <c r="F22" s="8">
        <f>D22-E22</f>
        <v/>
      </c>
      <c r="G22" s="9">
        <f>F22/D22</f>
        <v/>
      </c>
      <c r="H22" s="8">
        <f>D22*0.02+0.25/D22</f>
        <v/>
      </c>
      <c r="I22" s="8">
        <f>D22*0.05</f>
        <v/>
      </c>
      <c r="J22" s="8">
        <f>F22-H22-I22</f>
        <v/>
      </c>
      <c r="K22" s="9">
        <f>J22/D22</f>
        <v/>
      </c>
    </row>
    <row r="23">
      <c r="A23" s="6" t="inlineStr">
        <is>
          <t>Home-Alone Kit</t>
        </is>
      </c>
      <c r="B23" s="6" t="inlineStr">
        <is>
          <t>draft</t>
        </is>
      </c>
      <c r="C23" s="6" t="inlineStr">
        <is>
          <t>bundle</t>
        </is>
      </c>
      <c r="D23" s="7" t="n">
        <v>69.98999999999999</v>
      </c>
      <c r="E23" s="7" t="n">
        <v>15</v>
      </c>
      <c r="F23" s="8">
        <f>D23-E23</f>
        <v/>
      </c>
      <c r="G23" s="9">
        <f>F23/D23</f>
        <v/>
      </c>
      <c r="H23" s="8">
        <f>D23*0.02+0.25/D23</f>
        <v/>
      </c>
      <c r="I23" s="8">
        <f>D23*0.05</f>
        <v/>
      </c>
      <c r="J23" s="8">
        <f>F23-H23-I23</f>
        <v/>
      </c>
      <c r="K23" s="9">
        <f>J23/D23</f>
        <v/>
      </c>
    </row>
    <row r="24">
      <c r="A24" s="6" t="inlineStr">
        <is>
          <t>Fireworks Survival Kit</t>
        </is>
      </c>
      <c r="B24" s="6" t="inlineStr">
        <is>
          <t>draft</t>
        </is>
      </c>
      <c r="C24" s="6" t="inlineStr">
        <is>
          <t>bundle</t>
        </is>
      </c>
      <c r="D24" s="7" t="n">
        <v>84.98999999999999</v>
      </c>
      <c r="E24" s="7" t="n">
        <v>17.5</v>
      </c>
      <c r="F24" s="8">
        <f>D24-E24</f>
        <v/>
      </c>
      <c r="G24" s="9">
        <f>F24/D24</f>
        <v/>
      </c>
      <c r="H24" s="8">
        <f>D24*0.02+0.25/D24</f>
        <v/>
      </c>
      <c r="I24" s="8">
        <f>D24*0.05</f>
        <v/>
      </c>
      <c r="J24" s="8">
        <f>F24-H24-I24</f>
        <v/>
      </c>
      <c r="K24" s="9">
        <f>J24/D24</f>
        <v/>
      </c>
    </row>
    <row r="25">
      <c r="A25" s="6" t="inlineStr">
        <is>
          <t>Complete Calm System</t>
        </is>
      </c>
      <c r="B25" s="6" t="inlineStr">
        <is>
          <t>draft</t>
        </is>
      </c>
      <c r="C25" s="6" t="inlineStr">
        <is>
          <t>bundle</t>
        </is>
      </c>
      <c r="D25" s="7" t="n">
        <v>139.99</v>
      </c>
      <c r="E25" s="7" t="n">
        <v>44</v>
      </c>
      <c r="F25" s="8">
        <f>D25-E25</f>
        <v/>
      </c>
      <c r="G25" s="9">
        <f>F25/D25</f>
        <v/>
      </c>
      <c r="H25" s="8">
        <f>D25*0.02+0.25/D25</f>
        <v/>
      </c>
      <c r="I25" s="8">
        <f>D25*0.05</f>
        <v/>
      </c>
      <c r="J25" s="8">
        <f>F25-H25-I25</f>
        <v/>
      </c>
      <c r="K25" s="9">
        <f>J25/D25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20" customWidth="1" min="4" max="4"/>
    <col width="18" customWidth="1" min="5" max="5"/>
    <col width="15" customWidth="1" min="6" max="6"/>
    <col width="20" customWidth="1" min="7" max="7"/>
    <col width="16" customWidth="1" min="8" max="8"/>
  </cols>
  <sheetData>
    <row r="1">
      <c r="A1" s="10" t="inlineStr">
        <is>
          <t>If CJ ships bundle components as separate parcels you pay shipping per parcel.</t>
        </is>
      </c>
    </row>
    <row r="2">
      <c r="A2" s="11" t="inlineStr">
        <is>
          <t>ASK CJ: can bundle SKUs be combined into one parcel? Worth £14k-28k/yr.</t>
        </is>
      </c>
    </row>
    <row r="4">
      <c r="A4" t="inlineStr">
        <is>
          <t>Extra cost per additional parcel £</t>
        </is>
      </c>
      <c r="B4" s="12" t="n">
        <v>2.75</v>
      </c>
    </row>
    <row r="6">
      <c r="A6" s="5" t="inlineStr">
        <is>
          <t>Bundle</t>
        </is>
      </c>
      <c r="B6" s="5" t="inlineStr">
        <is>
          <t>Price £</t>
        </is>
      </c>
      <c r="C6" s="5" t="inlineStr">
        <is>
          <t>Parcels</t>
        </is>
      </c>
      <c r="D6" s="5" t="inlineStr">
        <is>
          <t>Landed (1 parcel) £</t>
        </is>
      </c>
      <c r="E6" s="5" t="inlineStr">
        <is>
          <t>Landed (multi) £</t>
        </is>
      </c>
      <c r="F6" s="5" t="inlineStr">
        <is>
          <t>Gross % multi</t>
        </is>
      </c>
      <c r="G6" s="5" t="inlineStr">
        <is>
          <t>Contribution multi £</t>
        </is>
      </c>
      <c r="H6" s="5" t="inlineStr">
        <is>
          <t>Loss per order £</t>
        </is>
      </c>
    </row>
    <row r="7">
      <c r="A7" s="6" t="inlineStr">
        <is>
          <t>First Days Kit</t>
        </is>
      </c>
      <c r="B7" s="13" t="n">
        <v>34.99</v>
      </c>
      <c r="C7" s="14" t="n">
        <v>3</v>
      </c>
      <c r="D7" s="13" t="n">
        <v>10.5</v>
      </c>
      <c r="E7" s="13">
        <f>D7+(C7-1)*$B$4</f>
        <v/>
      </c>
      <c r="F7" s="15">
        <f>(B7-E7)/B7</f>
        <v/>
      </c>
      <c r="G7" s="13">
        <f>B7-E7-(B7*0.02+0.25)-B7*0.05</f>
        <v/>
      </c>
      <c r="H7" s="13">
        <f>(C7-1)*$B$4</f>
        <v/>
      </c>
    </row>
    <row r="8">
      <c r="A8" s="6" t="inlineStr">
        <is>
          <t>Settle-In Bundle</t>
        </is>
      </c>
      <c r="B8" s="13" t="n">
        <v>64.98999999999999</v>
      </c>
      <c r="C8" s="14" t="n">
        <v>3</v>
      </c>
      <c r="D8" s="13" t="n">
        <v>18.2</v>
      </c>
      <c r="E8" s="13">
        <f>D8+(C8-1)*$B$4</f>
        <v/>
      </c>
      <c r="F8" s="15">
        <f>(B8-E8)/B8</f>
        <v/>
      </c>
      <c r="G8" s="13">
        <f>B8-E8-(B8*0.02+0.25)-B8*0.05</f>
        <v/>
      </c>
      <c r="H8" s="13">
        <f>(C8-1)*$B$4</f>
        <v/>
      </c>
    </row>
    <row r="9">
      <c r="A9" s="6" t="inlineStr">
        <is>
          <t>Home-Alone Kit</t>
        </is>
      </c>
      <c r="B9" s="13" t="n">
        <v>69.98999999999999</v>
      </c>
      <c r="C9" s="14" t="n">
        <v>3</v>
      </c>
      <c r="D9" s="13" t="n">
        <v>15</v>
      </c>
      <c r="E9" s="13">
        <f>D9+(C9-1)*$B$4</f>
        <v/>
      </c>
      <c r="F9" s="15">
        <f>(B9-E9)/B9</f>
        <v/>
      </c>
      <c r="G9" s="13">
        <f>B9-E9-(B9*0.02+0.25)-B9*0.05</f>
        <v/>
      </c>
      <c r="H9" s="13">
        <f>(C9-1)*$B$4</f>
        <v/>
      </c>
    </row>
    <row r="10">
      <c r="A10" s="6" t="inlineStr">
        <is>
          <t>Fireworks Survival Kit</t>
        </is>
      </c>
      <c r="B10" s="13" t="n">
        <v>84.98999999999999</v>
      </c>
      <c r="C10" s="14" t="n">
        <v>5</v>
      </c>
      <c r="D10" s="13" t="n">
        <v>17.5</v>
      </c>
      <c r="E10" s="13">
        <f>D10+(C10-1)*$B$4</f>
        <v/>
      </c>
      <c r="F10" s="15">
        <f>(B10-E10)/B10</f>
        <v/>
      </c>
      <c r="G10" s="13">
        <f>B10-E10-(B10*0.02+0.25)-B10*0.05</f>
        <v/>
      </c>
      <c r="H10" s="13">
        <f>(C10-1)*$B$4</f>
        <v/>
      </c>
    </row>
    <row r="11">
      <c r="A11" s="6" t="inlineStr">
        <is>
          <t>Complete Calm System</t>
        </is>
      </c>
      <c r="B11" s="13" t="n">
        <v>139.99</v>
      </c>
      <c r="C11" s="14" t="n">
        <v>5</v>
      </c>
      <c r="D11" s="13" t="n">
        <v>44</v>
      </c>
      <c r="E11" s="13">
        <f>D11+(C11-1)*$B$4</f>
        <v/>
      </c>
      <c r="F11" s="15">
        <f>(B11-E11)/B11</f>
        <v/>
      </c>
      <c r="G11" s="13">
        <f>B11-E11-(B11*0.02+0.25)-B11*0.05</f>
        <v/>
      </c>
      <c r="H11" s="13">
        <f>(C11-1)*$B$4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16" t="inlineStr">
        <is>
          <t>WHAT £100k NET PROFIT REQUIRES</t>
        </is>
      </c>
    </row>
    <row r="2">
      <c r="A2" s="17" t="inlineStr">
        <is>
          <t>Change the yellow inputs. The answer is orders/day.</t>
        </is>
      </c>
    </row>
    <row r="4">
      <c r="A4" s="4" t="inlineStr">
        <is>
          <t>Profit target £</t>
        </is>
      </c>
      <c r="B4" s="18" t="n">
        <v>100000</v>
      </c>
    </row>
    <row r="5">
      <c r="A5" s="4" t="inlineStr">
        <is>
          <t>Gross margin %</t>
        </is>
      </c>
      <c r="B5" s="19" t="n">
        <v>0.7</v>
      </c>
    </row>
    <row r="6">
      <c r="A6" s="4" t="inlineStr">
        <is>
          <t>AOV £</t>
        </is>
      </c>
      <c r="B6" s="7" t="n">
        <v>80</v>
      </c>
    </row>
    <row r="7">
      <c r="A7" s="4" t="inlineStr">
        <is>
          <t>Owned traffic share</t>
        </is>
      </c>
      <c r="B7" s="19" t="n">
        <v>0.5</v>
      </c>
    </row>
    <row r="8">
      <c r="A8" s="4" t="inlineStr">
        <is>
          <t>Paid ROAS</t>
        </is>
      </c>
      <c r="B8" s="20" t="n">
        <v>3.5</v>
      </c>
    </row>
    <row r="9">
      <c r="A9" s="4" t="inlineStr">
        <is>
          <t>Fixed costs/yr £</t>
        </is>
      </c>
      <c r="B9" s="18" t="n">
        <v>1140</v>
      </c>
    </row>
    <row r="10">
      <c r="A10" s="4" t="inlineStr">
        <is>
          <t>Payment fee %</t>
        </is>
      </c>
      <c r="B10" s="21" t="n">
        <v>0.02</v>
      </c>
    </row>
    <row r="11">
      <c r="A11" s="4" t="inlineStr">
        <is>
          <t>Refund provision %</t>
        </is>
      </c>
      <c r="B11" s="19" t="n">
        <v>0.05</v>
      </c>
    </row>
    <row r="14">
      <c r="A14" s="4" t="inlineStr">
        <is>
          <t>Contribution per owned order £</t>
        </is>
      </c>
      <c r="B14" s="8">
        <f>B6*B5-(B6*B10+0.25)-B6*B11</f>
        <v/>
      </c>
    </row>
    <row r="15">
      <c r="A15" s="4" t="inlineStr">
        <is>
          <t>Ad cost per paid order £</t>
        </is>
      </c>
      <c r="B15" s="8">
        <f>B6/B8</f>
        <v/>
      </c>
    </row>
    <row r="16">
      <c r="A16" s="4" t="inlineStr">
        <is>
          <t>Contribution per paid order £</t>
        </is>
      </c>
      <c r="B16" s="8">
        <f>B14-B15</f>
        <v/>
      </c>
    </row>
    <row r="17">
      <c r="A17" s="4" t="inlineStr">
        <is>
          <t>Blended profit per order £</t>
        </is>
      </c>
      <c r="B17" s="8">
        <f>B7*B14+(1-B7)*B16</f>
        <v/>
      </c>
    </row>
    <row r="18">
      <c r="A18" s="4" t="inlineStr">
        <is>
          <t>ORDERS NEEDED PER YEAR</t>
        </is>
      </c>
      <c r="B18" s="22">
        <f>(B4+B9)/B17</f>
        <v/>
      </c>
    </row>
    <row r="19">
      <c r="A19" s="4" t="inlineStr">
        <is>
          <t>ORDERS NEEDED PER DAY</t>
        </is>
      </c>
      <c r="B19" s="23">
        <f>B18/365</f>
        <v/>
      </c>
    </row>
    <row r="20">
      <c r="A20" s="4" t="inlineStr">
        <is>
          <t>REVENUE NEEDED</t>
        </is>
      </c>
      <c r="B20" s="24">
        <f>B18*B6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1" customWidth="1" min="4" max="4"/>
    <col width="10" customWidth="1" min="5" max="5"/>
    <col width="9" customWidth="1" min="6" max="6"/>
    <col width="11" customWidth="1" min="7" max="7"/>
    <col width="12" customWidth="1" min="8" max="8"/>
    <col width="9" customWidth="1" min="9" max="9"/>
    <col width="12" customWidth="1" min="10" max="10"/>
    <col width="15" customWidth="1" min="11" max="11"/>
    <col width="12" customWidth="1" min="12" max="12"/>
    <col width="14" customWidth="1" min="13" max="13"/>
  </cols>
  <sheetData>
    <row r="1">
      <c r="A1" s="16" t="inlineStr">
        <is>
          <t>12-MONTH PLAN — Scenario B (GOOD execution)</t>
        </is>
      </c>
    </row>
    <row r="2">
      <c r="A2" s="17" t="inlineStr">
        <is>
          <t>Seasonality is UK dog-anxiety demand: Oct/Nov = fireworks. Yellow = editable.</t>
        </is>
      </c>
    </row>
    <row r="4">
      <c r="A4" s="5" t="inlineStr">
        <is>
          <t>Month</t>
        </is>
      </c>
      <c r="B4" s="5" t="inlineStr">
        <is>
          <t>Season x</t>
        </is>
      </c>
      <c r="C4" s="5" t="inlineStr">
        <is>
          <t>Orders</t>
        </is>
      </c>
      <c r="D4" s="5" t="inlineStr">
        <is>
          <t>Orders/day</t>
        </is>
      </c>
      <c r="E4" s="5" t="inlineStr">
        <is>
          <t>AOV £</t>
        </is>
      </c>
      <c r="F4" s="5" t="inlineStr">
        <is>
          <t>Conv %</t>
        </is>
      </c>
      <c r="G4" s="5" t="inlineStr">
        <is>
          <t>Sessions</t>
        </is>
      </c>
      <c r="H4" s="5" t="inlineStr">
        <is>
          <t>Ad spend £</t>
        </is>
      </c>
      <c r="I4" s="5" t="inlineStr">
        <is>
          <t>ROAS</t>
        </is>
      </c>
      <c r="J4" s="5" t="inlineStr">
        <is>
          <t>Revenue £</t>
        </is>
      </c>
      <c r="K4" s="5" t="inlineStr">
        <is>
          <t>Contribution £</t>
        </is>
      </c>
      <c r="L4" s="5" t="inlineStr">
        <is>
          <t>Profit £</t>
        </is>
      </c>
      <c r="M4" s="5" t="inlineStr">
        <is>
          <t>Cumulative £</t>
        </is>
      </c>
    </row>
    <row r="5">
      <c r="A5" s="6" t="inlineStr">
        <is>
          <t>Aug</t>
        </is>
      </c>
      <c r="B5" s="25" t="n">
        <v>0.85</v>
      </c>
      <c r="C5" s="26" t="n">
        <v>19.1</v>
      </c>
      <c r="D5" s="27" t="n">
        <v>0.6366666666666667</v>
      </c>
      <c r="E5" s="8" t="n">
        <v>58</v>
      </c>
      <c r="F5" s="28" t="n">
        <v>0.012</v>
      </c>
      <c r="G5" s="26" t="n">
        <v>1595</v>
      </c>
      <c r="H5" s="29" t="n">
        <v>600</v>
      </c>
      <c r="I5" s="25" t="n">
        <v>1.92</v>
      </c>
      <c r="J5" s="29" t="n">
        <v>1110</v>
      </c>
      <c r="K5" s="29" t="n">
        <v>695</v>
      </c>
      <c r="L5" s="29" t="n">
        <v>0</v>
      </c>
      <c r="M5" s="29" t="n">
        <v>0</v>
      </c>
    </row>
    <row r="6">
      <c r="A6" s="6" t="inlineStr">
        <is>
          <t>Sep</t>
        </is>
      </c>
      <c r="B6" s="25" t="n">
        <v>1.05</v>
      </c>
      <c r="C6" s="26" t="n">
        <v>35</v>
      </c>
      <c r="D6" s="27" t="n">
        <v>1.166666666666667</v>
      </c>
      <c r="E6" s="8" t="n">
        <v>59.6364</v>
      </c>
      <c r="F6" s="28" t="n">
        <v>0.012</v>
      </c>
      <c r="G6" s="26" t="n">
        <v>2915</v>
      </c>
      <c r="H6" s="29" t="n">
        <v>900</v>
      </c>
      <c r="I6" s="25" t="n">
        <v>1.88</v>
      </c>
      <c r="J6" s="29" t="n">
        <v>2086</v>
      </c>
      <c r="K6" s="29" t="n">
        <v>1305</v>
      </c>
      <c r="L6" s="29" t="n">
        <v>310</v>
      </c>
      <c r="M6" s="29" t="n">
        <v>310</v>
      </c>
    </row>
    <row r="7">
      <c r="A7" s="30" t="inlineStr">
        <is>
          <t>Oct</t>
        </is>
      </c>
      <c r="B7" s="31" t="n">
        <v>1.65</v>
      </c>
      <c r="C7" s="32" t="n">
        <v>60.5</v>
      </c>
      <c r="D7" s="33" t="n">
        <v>2.016666666666667</v>
      </c>
      <c r="E7" s="34" t="n">
        <v>61.2727</v>
      </c>
      <c r="F7" s="35" t="n">
        <v>0.0133</v>
      </c>
      <c r="G7" s="32" t="n">
        <v>4550</v>
      </c>
      <c r="H7" s="36" t="n">
        <v>1350</v>
      </c>
      <c r="I7" s="31" t="n">
        <v>1.36</v>
      </c>
      <c r="J7" s="36" t="n">
        <v>3708</v>
      </c>
      <c r="K7" s="36" t="n">
        <v>2321</v>
      </c>
      <c r="L7" s="36" t="n">
        <v>876</v>
      </c>
      <c r="M7" s="36" t="n">
        <v>1186</v>
      </c>
    </row>
    <row r="8">
      <c r="A8" s="30" t="inlineStr">
        <is>
          <t>Nov</t>
        </is>
      </c>
      <c r="B8" s="31" t="n">
        <v>1.95</v>
      </c>
      <c r="C8" s="32" t="n">
        <v>111.8</v>
      </c>
      <c r="D8" s="33" t="n">
        <v>3.726666666666667</v>
      </c>
      <c r="E8" s="34" t="n">
        <v>62.9091</v>
      </c>
      <c r="F8" s="35" t="n">
        <v>0.0146</v>
      </c>
      <c r="G8" s="32" t="n">
        <v>7661</v>
      </c>
      <c r="H8" s="36" t="n">
        <v>2025</v>
      </c>
      <c r="I8" s="31" t="n">
        <v>1.41</v>
      </c>
      <c r="J8" s="36" t="n">
        <v>7036</v>
      </c>
      <c r="K8" s="36" t="n">
        <v>4405</v>
      </c>
      <c r="L8" s="36" t="n">
        <v>2285</v>
      </c>
      <c r="M8" s="36" t="n">
        <v>3470</v>
      </c>
    </row>
    <row r="9">
      <c r="A9" s="6" t="inlineStr">
        <is>
          <t>Dec</t>
        </is>
      </c>
      <c r="B9" s="25" t="n">
        <v>1.3</v>
      </c>
      <c r="C9" s="26" t="n">
        <v>114.1</v>
      </c>
      <c r="D9" s="27" t="n">
        <v>3.803333333333333</v>
      </c>
      <c r="E9" s="8" t="n">
        <v>64.5455</v>
      </c>
      <c r="F9" s="28" t="n">
        <v>0.0159</v>
      </c>
      <c r="G9" s="26" t="n">
        <v>7177</v>
      </c>
      <c r="H9" s="29" t="n">
        <v>3038</v>
      </c>
      <c r="I9" s="25" t="n">
        <v>1.42</v>
      </c>
      <c r="J9" s="29" t="n">
        <v>7365</v>
      </c>
      <c r="K9" s="29" t="n">
        <v>4612</v>
      </c>
      <c r="L9" s="29" t="n">
        <v>1479</v>
      </c>
      <c r="M9" s="29" t="n">
        <v>4950</v>
      </c>
    </row>
    <row r="10">
      <c r="A10" s="6" t="inlineStr">
        <is>
          <t>Jan</t>
        </is>
      </c>
      <c r="B10" s="25" t="n">
        <v>0.85</v>
      </c>
      <c r="C10" s="26" t="n">
        <v>123.5</v>
      </c>
      <c r="D10" s="27" t="n">
        <v>4.116666666666666</v>
      </c>
      <c r="E10" s="8" t="n">
        <v>66.1818</v>
      </c>
      <c r="F10" s="28" t="n">
        <v>0.0172</v>
      </c>
      <c r="G10" s="26" t="n">
        <v>7182</v>
      </c>
      <c r="H10" s="29" t="n">
        <v>3598</v>
      </c>
      <c r="I10" s="25" t="n">
        <v>1.95</v>
      </c>
      <c r="J10" s="29" t="n">
        <v>8176</v>
      </c>
      <c r="K10" s="29" t="n">
        <v>5120</v>
      </c>
      <c r="L10" s="29" t="n">
        <v>1427</v>
      </c>
      <c r="M10" s="29" t="n">
        <v>6377</v>
      </c>
    </row>
    <row r="11">
      <c r="A11" s="6" t="inlineStr">
        <is>
          <t>Feb</t>
        </is>
      </c>
      <c r="B11" s="25" t="n">
        <v>0.75</v>
      </c>
      <c r="C11" s="26" t="n">
        <v>126.3</v>
      </c>
      <c r="D11" s="27" t="n">
        <v>4.21</v>
      </c>
      <c r="E11" s="8" t="n">
        <v>67.8182</v>
      </c>
      <c r="F11" s="28" t="n">
        <v>0.0185</v>
      </c>
      <c r="G11" s="26" t="n">
        <v>6829</v>
      </c>
      <c r="H11" s="29" t="n">
        <v>3928</v>
      </c>
      <c r="I11" s="25" t="n">
        <v>2.04</v>
      </c>
      <c r="J11" s="29" t="n">
        <v>8568</v>
      </c>
      <c r="K11" s="29" t="n">
        <v>5366</v>
      </c>
      <c r="L11" s="29" t="n">
        <v>1343</v>
      </c>
      <c r="M11" s="29" t="n">
        <v>7720</v>
      </c>
    </row>
    <row r="12">
      <c r="A12" s="6" t="inlineStr">
        <is>
          <t>Mar</t>
        </is>
      </c>
      <c r="B12" s="25" t="n">
        <v>0.8</v>
      </c>
      <c r="C12" s="26" t="n">
        <v>150.2</v>
      </c>
      <c r="D12" s="27" t="n">
        <v>5.006666666666666</v>
      </c>
      <c r="E12" s="8" t="n">
        <v>69.4545</v>
      </c>
      <c r="F12" s="28" t="n">
        <v>0.0198</v>
      </c>
      <c r="G12" s="26" t="n">
        <v>7585</v>
      </c>
      <c r="H12" s="29" t="n">
        <v>4088</v>
      </c>
      <c r="I12" s="25" t="n">
        <v>2.14</v>
      </c>
      <c r="J12" s="29" t="n">
        <v>10432</v>
      </c>
      <c r="K12" s="29" t="n">
        <v>6534</v>
      </c>
      <c r="L12" s="29" t="n">
        <v>2351</v>
      </c>
      <c r="M12" s="29" t="n">
        <v>10071</v>
      </c>
    </row>
    <row r="13">
      <c r="A13" s="6" t="inlineStr">
        <is>
          <t>Apr</t>
        </is>
      </c>
      <c r="B13" s="25" t="n">
        <v>0.85</v>
      </c>
      <c r="C13" s="26" t="n">
        <v>196</v>
      </c>
      <c r="D13" s="27" t="n">
        <v>6.533333333333333</v>
      </c>
      <c r="E13" s="8" t="n">
        <v>71.0909</v>
      </c>
      <c r="F13" s="28" t="n">
        <v>0.0211</v>
      </c>
      <c r="G13" s="26" t="n">
        <v>9288</v>
      </c>
      <c r="H13" s="29" t="n">
        <v>4847</v>
      </c>
      <c r="I13" s="25" t="n">
        <v>2.16</v>
      </c>
      <c r="J13" s="29" t="n">
        <v>13932</v>
      </c>
      <c r="K13" s="29" t="n">
        <v>8728</v>
      </c>
      <c r="L13" s="29" t="n">
        <v>3786</v>
      </c>
      <c r="M13" s="29" t="n">
        <v>13857</v>
      </c>
    </row>
    <row r="14">
      <c r="A14" s="6" t="inlineStr">
        <is>
          <t>May</t>
        </is>
      </c>
      <c r="B14" s="25" t="n">
        <v>0.9</v>
      </c>
      <c r="C14" s="26" t="n">
        <v>269.2</v>
      </c>
      <c r="D14" s="27" t="n">
        <v>8.973333333333333</v>
      </c>
      <c r="E14" s="8" t="n">
        <v>72.7273</v>
      </c>
      <c r="F14" s="28" t="n">
        <v>0.0224</v>
      </c>
      <c r="G14" s="26" t="n">
        <v>12020</v>
      </c>
      <c r="H14" s="29" t="n">
        <v>6273</v>
      </c>
      <c r="I14" s="25" t="n">
        <v>2.12</v>
      </c>
      <c r="J14" s="29" t="n">
        <v>19581</v>
      </c>
      <c r="K14" s="29" t="n">
        <v>12269</v>
      </c>
      <c r="L14" s="29" t="n">
        <v>5901</v>
      </c>
      <c r="M14" s="29" t="n">
        <v>19758</v>
      </c>
    </row>
    <row r="15">
      <c r="A15" s="6" t="inlineStr">
        <is>
          <t>Jun</t>
        </is>
      </c>
      <c r="B15" s="25" t="n">
        <v>0.85</v>
      </c>
      <c r="C15" s="26" t="n">
        <v>322.4</v>
      </c>
      <c r="D15" s="27" t="n">
        <v>10.74666666666667</v>
      </c>
      <c r="E15" s="8" t="n">
        <v>74.36360000000001</v>
      </c>
      <c r="F15" s="28" t="n">
        <v>0.0237</v>
      </c>
      <c r="G15" s="26" t="n">
        <v>13603</v>
      </c>
      <c r="H15" s="29" t="n">
        <v>8000</v>
      </c>
      <c r="I15" s="25" t="n">
        <v>2.04</v>
      </c>
      <c r="J15" s="29" t="n">
        <v>23973</v>
      </c>
      <c r="K15" s="29" t="n">
        <v>15023</v>
      </c>
      <c r="L15" s="29" t="n">
        <v>6928</v>
      </c>
      <c r="M15" s="29" t="n">
        <v>26686</v>
      </c>
    </row>
    <row r="16">
      <c r="A16" s="6" t="inlineStr">
        <is>
          <t>Jul</t>
        </is>
      </c>
      <c r="B16" s="25" t="n">
        <v>0.8</v>
      </c>
      <c r="C16" s="26" t="n">
        <v>328.1</v>
      </c>
      <c r="D16" s="27" t="n">
        <v>10.93666666666667</v>
      </c>
      <c r="E16" s="8" t="n">
        <v>76</v>
      </c>
      <c r="F16" s="28" t="n">
        <v>0.025</v>
      </c>
      <c r="G16" s="26" t="n">
        <v>13124</v>
      </c>
      <c r="H16" s="29" t="n">
        <v>8000</v>
      </c>
      <c r="I16" s="25" t="n">
        <v>2.14</v>
      </c>
      <c r="J16" s="29" t="n">
        <v>24935</v>
      </c>
      <c r="K16" s="29" t="n">
        <v>15627</v>
      </c>
      <c r="L16" s="29" t="n">
        <v>7532</v>
      </c>
      <c r="M16" s="29" t="n">
        <v>34218</v>
      </c>
    </row>
    <row r="17">
      <c r="A17" s="37" t="inlineStr">
        <is>
          <t>TOTAL</t>
        </is>
      </c>
      <c r="C17" s="38">
        <f>SUM(C5:C16)</f>
        <v/>
      </c>
      <c r="H17" s="39">
        <f>SUM(H5:H16)</f>
        <v/>
      </c>
      <c r="J17" s="39">
        <f>SUM(J5:J16)</f>
        <v/>
      </c>
      <c r="K17" s="39">
        <f>SUM(K5:K16)</f>
        <v/>
      </c>
      <c r="L17" s="39">
        <f>SUM(L5:L16)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  <col width="18" customWidth="1" min="4" max="4"/>
    <col width="22" customWidth="1" min="5" max="5"/>
    <col width="12" customWidth="1" min="6" max="6"/>
    <col width="12" customWidth="1" min="7" max="7"/>
    <col width="10" customWidth="1" min="8" max="8"/>
  </cols>
  <sheetData>
    <row r="1">
      <c r="A1" s="16" t="inlineStr">
        <is>
          <t>MONDAY SCORECARD — check these five, nothing else</t>
        </is>
      </c>
    </row>
    <row r="3">
      <c r="A3" s="5" t="inlineStr">
        <is>
          <t>#</t>
        </is>
      </c>
      <c r="B3" s="5" t="inlineStr">
        <is>
          <t>Metric</t>
        </is>
      </c>
      <c r="C3" s="5" t="inlineStr">
        <is>
          <t>Where to find it</t>
        </is>
      </c>
      <c r="D3" s="5" t="inlineStr">
        <is>
          <t>Target by Mar 27</t>
        </is>
      </c>
      <c r="E3" s="5" t="inlineStr">
        <is>
          <t>Red flag</t>
        </is>
      </c>
      <c r="F3" s="5" t="inlineStr">
        <is>
          <t>This week</t>
        </is>
      </c>
      <c r="G3" s="5" t="inlineStr">
        <is>
          <t>Last week</t>
        </is>
      </c>
      <c r="H3" s="5" t="inlineStr">
        <is>
          <t>Trend</t>
        </is>
      </c>
    </row>
    <row r="4">
      <c r="A4" s="40" t="inlineStr">
        <is>
          <t>1</t>
        </is>
      </c>
      <c r="B4" s="6" t="inlineStr">
        <is>
          <t>Orders/day (7-day avg)</t>
        </is>
      </c>
      <c r="C4" s="6" t="inlineStr">
        <is>
          <t>Shopify home</t>
        </is>
      </c>
      <c r="D4" s="6" t="inlineStr">
        <is>
          <t>7+</t>
        </is>
      </c>
      <c r="E4" s="6" t="inlineStr">
        <is>
          <t>2 weeks falling</t>
        </is>
      </c>
      <c r="F4" s="41" t="n"/>
      <c r="G4" s="41" t="n"/>
      <c r="H4" s="6">
        <f>IF(F4="","",IF(F4&gt;G4,"UP",IF(F4&lt;G4,"DOWN","flat")))</f>
        <v/>
      </c>
    </row>
    <row r="5">
      <c r="A5" s="40" t="inlineStr">
        <is>
          <t>2</t>
        </is>
      </c>
      <c r="B5" s="6" t="inlineStr">
        <is>
          <t>AOV</t>
        </is>
      </c>
      <c r="C5" s="6" t="inlineStr">
        <is>
          <t>Shopify &gt; Reports</t>
        </is>
      </c>
      <c r="D5" s="6" t="inlineStr">
        <is>
          <t>£80</t>
        </is>
      </c>
      <c r="E5" s="6" t="inlineStr">
        <is>
          <t>below £65</t>
        </is>
      </c>
      <c r="F5" s="41" t="n"/>
      <c r="G5" s="41" t="n"/>
      <c r="H5" s="6">
        <f>IF(F5="","",IF(F5&gt;G5,"UP",IF(F5&lt;G5,"DOWN","flat")))</f>
        <v/>
      </c>
    </row>
    <row r="6">
      <c r="A6" s="40" t="inlineStr">
        <is>
          <t>3</t>
        </is>
      </c>
      <c r="B6" s="6" t="inlineStr">
        <is>
          <t>Conversion rate</t>
        </is>
      </c>
      <c r="C6" s="6" t="inlineStr">
        <is>
          <t>Shopify &gt; Reports</t>
        </is>
      </c>
      <c r="D6" s="6" t="inlineStr">
        <is>
          <t>2.5%</t>
        </is>
      </c>
      <c r="E6" s="6" t="inlineStr">
        <is>
          <t>below 1.5%</t>
        </is>
      </c>
      <c r="F6" s="41" t="n"/>
      <c r="G6" s="41" t="n"/>
      <c r="H6" s="6">
        <f>IF(F6="","",IF(F6&gt;G6,"UP",IF(F6&lt;G6,"DOWN","flat")))</f>
        <v/>
      </c>
    </row>
    <row r="7">
      <c r="A7" s="40" t="inlineStr">
        <is>
          <t>4</t>
        </is>
      </c>
      <c r="B7" s="6" t="inlineStr">
        <is>
          <t>Owned-traffic share of orders</t>
        </is>
      </c>
      <c r="C7" s="6" t="inlineStr">
        <is>
          <t>GA4: email+organic+direct / all</t>
        </is>
      </c>
      <c r="D7" s="6" t="inlineStr">
        <is>
          <t>50%</t>
        </is>
      </c>
      <c r="E7" s="6" t="inlineStr">
        <is>
          <t>below 30%</t>
        </is>
      </c>
      <c r="F7" s="41" t="n"/>
      <c r="G7" s="41" t="n"/>
      <c r="H7" s="6">
        <f>IF(F7="","",IF(F7&gt;G7,"UP",IF(F7&lt;G7,"DOWN","flat")))</f>
        <v/>
      </c>
    </row>
    <row r="8">
      <c r="A8" s="40" t="inlineStr">
        <is>
          <t>5</t>
        </is>
      </c>
      <c r="B8" s="6" t="inlineStr">
        <is>
          <t>Blended MER (revenue/ad spend)</t>
        </is>
      </c>
      <c r="C8" s="6" t="inlineStr">
        <is>
          <t>your own maths</t>
        </is>
      </c>
      <c r="D8" s="6" t="inlineStr">
        <is>
          <t>3.5x</t>
        </is>
      </c>
      <c r="E8" s="6" t="inlineStr">
        <is>
          <t>below 2.5x</t>
        </is>
      </c>
      <c r="F8" s="41" t="n"/>
      <c r="G8" s="41" t="n"/>
      <c r="H8" s="6">
        <f>IF(F8="","",IF(F8&gt;G8,"UP",IF(F8&lt;G8,"DOWN","flat")))</f>
        <v/>
      </c>
    </row>
    <row r="10">
      <c r="A10" s="42" t="inlineStr">
        <is>
          <t>If #2 (AOV) and #4 (owned traffic) are on target, £100k arrives.</t>
        </is>
      </c>
    </row>
    <row r="11">
      <c r="A11" s="43" t="inlineStr">
        <is>
          <t>If they are not, no amount of ad spend fixes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2026-07-25T03:26:57Z</dcterms:created>
  <dcterms:modified xsi:type="dcterms:W3CDTF">2026-07-25T03:26:57Z</dcterms:modified>
</cp:coreProperties>
</file>